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D:\NIAI\Batch-II\Week-3 Statistics &amp; Python\Day-2 Hypothesis Testing and Math\"/>
    </mc:Choice>
  </mc:AlternateContent>
  <xr:revisionPtr revIDLastSave="0" documentId="8_{EC7A3E33-83BE-448A-BFB8-94FC0275A0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Additional Data" sheetId="4" r:id="rId2"/>
    <sheet name="How_To_Use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M11" i="1"/>
  <c r="J16" i="1"/>
  <c r="J15" i="1"/>
  <c r="L11" i="1"/>
  <c r="J14" i="1"/>
  <c r="K11" i="1"/>
  <c r="J13" i="1"/>
  <c r="J11" i="1"/>
  <c r="I11" i="1"/>
  <c r="J19" i="1" l="1"/>
  <c r="O11" i="1"/>
</calcChain>
</file>

<file path=xl/sharedStrings.xml><?xml version="1.0" encoding="utf-8"?>
<sst xmlns="http://schemas.openxmlformats.org/spreadsheetml/2006/main" count="111" uniqueCount="97">
  <si>
    <t>Email_ID</t>
  </si>
  <si>
    <t>Email_Text</t>
  </si>
  <si>
    <t>Spam</t>
  </si>
  <si>
    <t>FREE</t>
  </si>
  <si>
    <t>OFFER</t>
  </si>
  <si>
    <t>WIN</t>
  </si>
  <si>
    <t>Work_Email</t>
  </si>
  <si>
    <t>HOW TO ADD DATA</t>
  </si>
  <si>
    <t>E001</t>
  </si>
  <si>
    <t>Congratulations! You won a FREE prize</t>
  </si>
  <si>
    <t>Add new rows below the existing data.</t>
  </si>
  <si>
    <t>E002</t>
  </si>
  <si>
    <t>FREE offer just for you</t>
  </si>
  <si>
    <t>Spam: 1 = Spam, 0 = Not Spam.</t>
  </si>
  <si>
    <t>E003</t>
  </si>
  <si>
    <t>WIN a cash reward now</t>
  </si>
  <si>
    <t>FREE / OFFER / WIN: 1 if the word appears, otherwise 0.</t>
  </si>
  <si>
    <t>E004</t>
  </si>
  <si>
    <t>Exclusive FREE voucher</t>
  </si>
  <si>
    <t>Work_Email: 1 if it is a normal work email, otherwise 0.</t>
  </si>
  <si>
    <t>E005</t>
  </si>
  <si>
    <t>Claim your prize today</t>
  </si>
  <si>
    <t>Do not edit Practical_Bayes formulas.</t>
  </si>
  <si>
    <t>E006</t>
  </si>
  <si>
    <t>You have won FREE tickets</t>
  </si>
  <si>
    <t>E007</t>
  </si>
  <si>
    <t>FREE money offer waiting</t>
  </si>
  <si>
    <t>E008</t>
  </si>
  <si>
    <t>Urgent WIN notification</t>
  </si>
  <si>
    <t>E009</t>
  </si>
  <si>
    <t>Special offer: claim now</t>
  </si>
  <si>
    <t>P(Spam)</t>
  </si>
  <si>
    <t>P(FREE|SPAM)</t>
  </si>
  <si>
    <t>P(FREE|Not Spam)</t>
  </si>
  <si>
    <t>P(FREE)</t>
  </si>
  <si>
    <t>P(SPAM|FREE)</t>
  </si>
  <si>
    <t>Bayes' Theorem calculation:</t>
  </si>
  <si>
    <t>E010</t>
  </si>
  <si>
    <t>Get FREE rewards</t>
  </si>
  <si>
    <t>E011</t>
  </si>
  <si>
    <t>FREE discount offer</t>
  </si>
  <si>
    <t>E012</t>
  </si>
  <si>
    <t>WIN big prize</t>
  </si>
  <si>
    <t>E013</t>
  </si>
  <si>
    <t>Meeting agenda for Monday</t>
  </si>
  <si>
    <t>E014</t>
  </si>
  <si>
    <t>Project report attached</t>
  </si>
  <si>
    <t>E015</t>
  </si>
  <si>
    <t>Please review the meeting notes</t>
  </si>
  <si>
    <t>E016</t>
  </si>
  <si>
    <t>Your invoice is ready</t>
  </si>
  <si>
    <t>E017</t>
  </si>
  <si>
    <t>Team meeting at 10 AM</t>
  </si>
  <si>
    <t>E018</t>
  </si>
  <si>
    <t>Monthly report is attached</t>
  </si>
  <si>
    <t>E019</t>
  </si>
  <si>
    <t>Can we schedule a meeting?</t>
  </si>
  <si>
    <t>E020</t>
  </si>
  <si>
    <t>Please send the project update</t>
  </si>
  <si>
    <t>E021</t>
  </si>
  <si>
    <t>Meeting minutes for review</t>
  </si>
  <si>
    <t>E022</t>
  </si>
  <si>
    <t>Your report is ready</t>
  </si>
  <si>
    <t>E023</t>
  </si>
  <si>
    <t>Project meeting tomorrow</t>
  </si>
  <si>
    <t>E024</t>
  </si>
  <si>
    <t>Invoice and report attached</t>
  </si>
  <si>
    <t>E025</t>
  </si>
  <si>
    <t>FREE bonus offer today</t>
  </si>
  <si>
    <t>E026</t>
  </si>
  <si>
    <t>Please review the FREE document</t>
  </si>
  <si>
    <t>E027</t>
  </si>
  <si>
    <t>WIN a special reward</t>
  </si>
  <si>
    <t>E028</t>
  </si>
  <si>
    <t>Team meeting and project update</t>
  </si>
  <si>
    <t>E029</t>
  </si>
  <si>
    <t>FREE gift for you</t>
  </si>
  <si>
    <t>E030</t>
  </si>
  <si>
    <t>FREE training material attached</t>
  </si>
  <si>
    <t>E031</t>
  </si>
  <si>
    <t>Limited time OFFER</t>
  </si>
  <si>
    <t>E032</t>
  </si>
  <si>
    <t>Meeting offer for next week</t>
  </si>
  <si>
    <t>E033</t>
  </si>
  <si>
    <t>WIN your reward now</t>
  </si>
  <si>
    <t>E034</t>
  </si>
  <si>
    <t>E035</t>
  </si>
  <si>
    <t>FREE cash reward</t>
  </si>
  <si>
    <t>E036</t>
  </si>
  <si>
    <t>FREE project resources</t>
  </si>
  <si>
    <t>Step</t>
  </si>
  <si>
    <t>What to do</t>
  </si>
  <si>
    <t>Use Dataset as your historical training data.</t>
  </si>
  <si>
    <t>Add new emails at the bottom and enter 1/0 for Spam and the feature columns.</t>
  </si>
  <si>
    <t>Open Practical_Bayes to see updated counts and probabilities.</t>
  </si>
  <si>
    <t>Calculate P(Spam), P(FREE|Spam), P(FREE|Not Spam), P(FREE), then P(Spam|FREE).</t>
  </si>
  <si>
    <t>Add more data and observe how the probability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</si>
</sst>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rgb="FF14203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ailData" displayName="EmailData" ref="A1:G26">
  <autoFilter ref="A1:G26" xr:uid="{00000000-0009-0000-0100-000001000000}"/>
  <tableColumns count="7">
    <tableColumn id="1" xr3:uid="{00000000-0010-0000-0000-000001000000}" name="Email_ID"/>
    <tableColumn id="2" xr3:uid="{00000000-0010-0000-0000-000002000000}" name="Email_Text"/>
    <tableColumn id="3" xr3:uid="{00000000-0010-0000-0000-000003000000}" name="Spam"/>
    <tableColumn id="4" xr3:uid="{00000000-0010-0000-0000-000004000000}" name="FREE"/>
    <tableColumn id="5" xr3:uid="{00000000-0010-0000-0000-000005000000}" name="OFFER"/>
    <tableColumn id="6" xr3:uid="{00000000-0010-0000-0000-000006000000}" name="WIN"/>
    <tableColumn id="7" xr3:uid="{00000000-0010-0000-0000-000007000000}" name="Work_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zoomScale="120" zoomScaleNormal="120" workbookViewId="0">
      <pane ySplit="1" topLeftCell="A2" activePane="bottomLeft" state="frozen"/>
      <selection pane="bottomLeft" activeCell="A29" sqref="A29:XFD29"/>
    </sheetView>
  </sheetViews>
  <sheetFormatPr defaultRowHeight="14.45"/>
  <cols>
    <col min="1" max="1" width="12" customWidth="1"/>
    <col min="2" max="2" width="39" customWidth="1"/>
    <col min="3" max="7" width="12" customWidth="1"/>
    <col min="9" max="9" width="48" customWidth="1"/>
  </cols>
  <sheetData>
    <row r="1" spans="1:1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</row>
    <row r="2" spans="1:17">
      <c r="A2" s="3" t="s">
        <v>8</v>
      </c>
      <c r="B2" s="3" t="s">
        <v>9</v>
      </c>
      <c r="C2" s="3">
        <v>1</v>
      </c>
      <c r="D2" s="3">
        <v>1</v>
      </c>
      <c r="E2" s="3">
        <v>1</v>
      </c>
      <c r="F2" s="3">
        <v>0</v>
      </c>
      <c r="G2" s="3">
        <v>0</v>
      </c>
      <c r="I2" t="s">
        <v>10</v>
      </c>
    </row>
    <row r="3" spans="1:17">
      <c r="A3" s="3" t="s">
        <v>11</v>
      </c>
      <c r="B3" s="3" t="s">
        <v>12</v>
      </c>
      <c r="C3" s="3">
        <v>1</v>
      </c>
      <c r="D3" s="3">
        <v>1</v>
      </c>
      <c r="E3" s="3">
        <v>1</v>
      </c>
      <c r="F3" s="3">
        <v>0</v>
      </c>
      <c r="G3" s="3">
        <v>0</v>
      </c>
      <c r="I3" t="s">
        <v>13</v>
      </c>
    </row>
    <row r="4" spans="1:17">
      <c r="A4" s="3" t="s">
        <v>14</v>
      </c>
      <c r="B4" s="3" t="s">
        <v>15</v>
      </c>
      <c r="C4" s="3">
        <v>1</v>
      </c>
      <c r="D4" s="3">
        <v>0</v>
      </c>
      <c r="E4" s="3">
        <v>1</v>
      </c>
      <c r="F4" s="3">
        <v>1</v>
      </c>
      <c r="G4" s="3">
        <v>0</v>
      </c>
      <c r="I4" t="s">
        <v>16</v>
      </c>
    </row>
    <row r="5" spans="1:17">
      <c r="A5" s="3" t="s">
        <v>17</v>
      </c>
      <c r="B5" s="3" t="s">
        <v>18</v>
      </c>
      <c r="C5" s="3">
        <v>1</v>
      </c>
      <c r="D5" s="3">
        <v>1</v>
      </c>
      <c r="E5" s="3">
        <v>1</v>
      </c>
      <c r="F5" s="3">
        <v>0</v>
      </c>
      <c r="G5" s="3">
        <v>0</v>
      </c>
      <c r="I5" t="s">
        <v>19</v>
      </c>
    </row>
    <row r="6" spans="1:17">
      <c r="A6" s="3" t="s">
        <v>20</v>
      </c>
      <c r="B6" s="3" t="s">
        <v>21</v>
      </c>
      <c r="C6" s="3">
        <v>1</v>
      </c>
      <c r="D6" s="3">
        <v>0</v>
      </c>
      <c r="E6" s="3">
        <v>0</v>
      </c>
      <c r="F6" s="3">
        <v>0</v>
      </c>
      <c r="G6" s="3">
        <v>0</v>
      </c>
      <c r="I6" t="s">
        <v>22</v>
      </c>
    </row>
    <row r="7" spans="1:17">
      <c r="A7" s="3" t="s">
        <v>23</v>
      </c>
      <c r="B7" s="3" t="s">
        <v>24</v>
      </c>
      <c r="C7" s="3">
        <v>1</v>
      </c>
      <c r="D7" s="3">
        <v>1</v>
      </c>
      <c r="E7" s="3">
        <v>0</v>
      </c>
      <c r="F7" s="3">
        <v>1</v>
      </c>
      <c r="G7" s="3">
        <v>0</v>
      </c>
    </row>
    <row r="8" spans="1:17">
      <c r="A8" s="3" t="s">
        <v>25</v>
      </c>
      <c r="B8" s="3" t="s">
        <v>26</v>
      </c>
      <c r="C8" s="3">
        <v>1</v>
      </c>
      <c r="D8" s="3">
        <v>1</v>
      </c>
      <c r="E8" s="3">
        <v>1</v>
      </c>
      <c r="F8" s="3">
        <v>0</v>
      </c>
      <c r="G8" s="3">
        <v>0</v>
      </c>
    </row>
    <row r="9" spans="1:17">
      <c r="A9" s="3" t="s">
        <v>27</v>
      </c>
      <c r="B9" s="3" t="s">
        <v>28</v>
      </c>
      <c r="C9" s="3">
        <v>1</v>
      </c>
      <c r="D9" s="3">
        <v>0</v>
      </c>
      <c r="E9" s="3">
        <v>0</v>
      </c>
      <c r="F9" s="3">
        <v>1</v>
      </c>
      <c r="G9" s="3">
        <v>0</v>
      </c>
    </row>
    <row r="10" spans="1:17" ht="15">
      <c r="A10" s="3" t="s">
        <v>29</v>
      </c>
      <c r="B10" s="3" t="s">
        <v>30</v>
      </c>
      <c r="C10" s="3">
        <v>1</v>
      </c>
      <c r="D10" s="3">
        <v>0</v>
      </c>
      <c r="E10" s="3">
        <v>1</v>
      </c>
      <c r="F10" s="3">
        <v>0</v>
      </c>
      <c r="G10" s="3">
        <v>0</v>
      </c>
      <c r="I10" s="9" t="s">
        <v>31</v>
      </c>
      <c r="J10" s="9" t="s">
        <v>32</v>
      </c>
      <c r="K10" s="9" t="s">
        <v>33</v>
      </c>
      <c r="L10" s="9" t="s">
        <v>34</v>
      </c>
      <c r="M10" s="9" t="s">
        <v>35</v>
      </c>
      <c r="N10" s="10"/>
      <c r="O10" s="10" t="s">
        <v>36</v>
      </c>
      <c r="P10" s="10"/>
      <c r="Q10" s="10"/>
    </row>
    <row r="11" spans="1:17">
      <c r="A11" s="3" t="s">
        <v>37</v>
      </c>
      <c r="B11" s="3" t="s">
        <v>38</v>
      </c>
      <c r="C11" s="3">
        <v>1</v>
      </c>
      <c r="D11" s="3">
        <v>1</v>
      </c>
      <c r="E11" s="3">
        <v>0</v>
      </c>
      <c r="F11" s="3">
        <v>0</v>
      </c>
      <c r="G11" s="3">
        <v>0</v>
      </c>
      <c r="I11" s="8">
        <f>IFERROR(COUNTIF(C:C, 1) / COUNT(C:C), 0)</f>
        <v>0.5</v>
      </c>
      <c r="J11" s="8">
        <f>IFERROR(COUNTIFS(C:C, 1, D:D, 1) / COUNTIF(C:C, 1), 0)</f>
        <v>0.58333333333333337</v>
      </c>
      <c r="K11" s="8">
        <f>IFERROR(COUNTIFS(C:C, 0, D:D, 1) / COUNTIF(C:C, 0), 0)</f>
        <v>0</v>
      </c>
      <c r="L11" s="8">
        <f>COUNTIF(D2:D26,1)/COUNT(D2:D26)</f>
        <v>0.29166666666666669</v>
      </c>
      <c r="M11" s="8">
        <f>IFERROR(COUNTIFS(C:C, 1, D:D, 1) / COUNTIF(D:D, 1), 0)</f>
        <v>1</v>
      </c>
      <c r="N11" s="8"/>
      <c r="O11" s="8">
        <f>J11*I11/L11</f>
        <v>1</v>
      </c>
      <c r="P11" s="8"/>
      <c r="Q11" s="8"/>
    </row>
    <row r="12" spans="1:17">
      <c r="A12" s="3" t="s">
        <v>39</v>
      </c>
      <c r="B12" s="3" t="s">
        <v>40</v>
      </c>
      <c r="C12" s="3">
        <v>1</v>
      </c>
      <c r="D12" s="3">
        <v>1</v>
      </c>
      <c r="E12" s="3">
        <v>1</v>
      </c>
      <c r="F12" s="3">
        <v>0</v>
      </c>
      <c r="G12" s="3">
        <v>0</v>
      </c>
    </row>
    <row r="13" spans="1:17" ht="15">
      <c r="A13" s="3" t="s">
        <v>41</v>
      </c>
      <c r="B13" s="3" t="s">
        <v>42</v>
      </c>
      <c r="C13" s="3">
        <v>1</v>
      </c>
      <c r="D13" s="3">
        <v>0</v>
      </c>
      <c r="E13" s="3">
        <v>0</v>
      </c>
      <c r="F13" s="3">
        <v>1</v>
      </c>
      <c r="G13" s="3">
        <v>0</v>
      </c>
      <c r="I13" s="9" t="s">
        <v>31</v>
      </c>
      <c r="J13" s="8">
        <f>IFERROR(COUNTIFS(C:C, 1, D:D, 1) / COUNTIF(C:C, 1), 0)</f>
        <v>0.58333333333333337</v>
      </c>
    </row>
    <row r="14" spans="1:17" ht="15">
      <c r="A14" s="3" t="s">
        <v>43</v>
      </c>
      <c r="B14" s="3" t="s">
        <v>44</v>
      </c>
      <c r="C14" s="3">
        <v>0</v>
      </c>
      <c r="D14" s="3">
        <v>0</v>
      </c>
      <c r="E14" s="3">
        <v>0</v>
      </c>
      <c r="F14" s="3">
        <v>0</v>
      </c>
      <c r="G14" s="3">
        <v>1</v>
      </c>
      <c r="I14" s="9" t="s">
        <v>32</v>
      </c>
      <c r="J14" s="8">
        <f>IFERROR(COUNTIFS(C:C, 0, D:D, 1) / COUNTIF(C:C, 0), 0)</f>
        <v>0</v>
      </c>
    </row>
    <row r="15" spans="1:17" ht="15">
      <c r="A15" s="3" t="s">
        <v>45</v>
      </c>
      <c r="B15" s="3" t="s">
        <v>46</v>
      </c>
      <c r="C15" s="3">
        <v>0</v>
      </c>
      <c r="D15" s="3">
        <v>0</v>
      </c>
      <c r="E15" s="3">
        <v>0</v>
      </c>
      <c r="F15" s="3">
        <v>0</v>
      </c>
      <c r="G15" s="3">
        <v>1</v>
      </c>
      <c r="I15" s="9" t="s">
        <v>33</v>
      </c>
      <c r="J15" s="8">
        <f>COUNTIF(D2:D26,1)/COUNT(D2:D26)</f>
        <v>0.29166666666666669</v>
      </c>
    </row>
    <row r="16" spans="1:17" ht="15">
      <c r="A16" s="3" t="s">
        <v>47</v>
      </c>
      <c r="B16" s="3" t="s">
        <v>48</v>
      </c>
      <c r="C16" s="3">
        <v>0</v>
      </c>
      <c r="D16" s="3">
        <v>0</v>
      </c>
      <c r="E16" s="3">
        <v>0</v>
      </c>
      <c r="F16" s="3">
        <v>0</v>
      </c>
      <c r="G16" s="3">
        <v>1</v>
      </c>
      <c r="I16" s="9" t="s">
        <v>34</v>
      </c>
      <c r="J16" s="8">
        <f>IFERROR(COUNTIFS(C:C, 1, D:D, 1) / COUNTIF(D:D, 1), 0)</f>
        <v>1</v>
      </c>
    </row>
    <row r="17" spans="1:10" ht="15">
      <c r="A17" s="3" t="s">
        <v>49</v>
      </c>
      <c r="B17" s="3" t="s">
        <v>50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I17" s="9" t="s">
        <v>35</v>
      </c>
      <c r="J17" s="8">
        <f>IFERROR(COUNTIFS(C:C, 1, D:D, 1) / COUNTIF(D:D, 1), 0)</f>
        <v>1</v>
      </c>
    </row>
    <row r="18" spans="1:10" ht="15">
      <c r="A18" s="3" t="s">
        <v>51</v>
      </c>
      <c r="B18" s="3" t="s">
        <v>52</v>
      </c>
      <c r="C18" s="3">
        <v>0</v>
      </c>
      <c r="D18" s="3">
        <v>0</v>
      </c>
      <c r="E18" s="3">
        <v>0</v>
      </c>
      <c r="F18" s="3">
        <v>0</v>
      </c>
      <c r="G18" s="3">
        <v>1</v>
      </c>
      <c r="I18" s="10"/>
      <c r="J18" s="8"/>
    </row>
    <row r="19" spans="1:10" ht="15">
      <c r="A19" s="3" t="s">
        <v>53</v>
      </c>
      <c r="B19" s="3" t="s">
        <v>54</v>
      </c>
      <c r="C19" s="3">
        <v>0</v>
      </c>
      <c r="D19" s="3">
        <v>0</v>
      </c>
      <c r="E19" s="3">
        <v>0</v>
      </c>
      <c r="F19" s="3">
        <v>0</v>
      </c>
      <c r="G19" s="3">
        <v>1</v>
      </c>
      <c r="I19" s="10" t="s">
        <v>36</v>
      </c>
      <c r="J19" s="8">
        <f>J11*I11/L11</f>
        <v>1</v>
      </c>
    </row>
    <row r="20" spans="1:10" ht="15">
      <c r="A20" s="3" t="s">
        <v>55</v>
      </c>
      <c r="B20" s="3" t="s">
        <v>56</v>
      </c>
      <c r="C20" s="3">
        <v>0</v>
      </c>
      <c r="D20" s="3">
        <v>0</v>
      </c>
      <c r="E20" s="3">
        <v>0</v>
      </c>
      <c r="F20" s="3">
        <v>0</v>
      </c>
      <c r="G20" s="3">
        <v>1</v>
      </c>
      <c r="I20" s="10"/>
      <c r="J20" s="8"/>
    </row>
    <row r="21" spans="1:10">
      <c r="A21" s="3" t="s">
        <v>57</v>
      </c>
      <c r="B21" s="3" t="s">
        <v>58</v>
      </c>
      <c r="C21" s="3">
        <v>0</v>
      </c>
      <c r="D21" s="3">
        <v>0</v>
      </c>
      <c r="E21" s="3">
        <v>0</v>
      </c>
      <c r="F21" s="3">
        <v>0</v>
      </c>
      <c r="G21" s="3">
        <v>1</v>
      </c>
    </row>
    <row r="22" spans="1:10">
      <c r="A22" s="3" t="s">
        <v>59</v>
      </c>
      <c r="B22" s="3" t="s">
        <v>60</v>
      </c>
      <c r="C22" s="3">
        <v>0</v>
      </c>
      <c r="D22" s="3">
        <v>0</v>
      </c>
      <c r="E22" s="3">
        <v>0</v>
      </c>
      <c r="F22" s="3">
        <v>0</v>
      </c>
      <c r="G22" s="3">
        <v>1</v>
      </c>
    </row>
    <row r="23" spans="1:10">
      <c r="A23" s="3" t="s">
        <v>61</v>
      </c>
      <c r="B23" s="3" t="s">
        <v>62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</row>
    <row r="24" spans="1:10">
      <c r="A24" s="3" t="s">
        <v>63</v>
      </c>
      <c r="B24" s="3" t="s">
        <v>64</v>
      </c>
      <c r="C24" s="3">
        <v>0</v>
      </c>
      <c r="D24" s="3">
        <v>0</v>
      </c>
      <c r="E24" s="3">
        <v>0</v>
      </c>
      <c r="F24" s="3">
        <v>0</v>
      </c>
      <c r="G24" s="3">
        <v>1</v>
      </c>
    </row>
    <row r="25" spans="1:10">
      <c r="A25" s="3" t="s">
        <v>65</v>
      </c>
      <c r="B25" s="3" t="s">
        <v>66</v>
      </c>
      <c r="C25" s="3">
        <v>0</v>
      </c>
      <c r="D25" s="3">
        <v>0</v>
      </c>
      <c r="E25" s="3">
        <v>0</v>
      </c>
      <c r="F25" s="3">
        <v>0</v>
      </c>
      <c r="G25" s="3">
        <v>1</v>
      </c>
    </row>
    <row r="26" spans="1:10" ht="15">
      <c r="A26" s="3"/>
      <c r="B26" s="3"/>
      <c r="C26" s="3"/>
      <c r="D26" s="3"/>
      <c r="E26" s="3"/>
      <c r="F26" s="3"/>
      <c r="G26" s="3"/>
    </row>
    <row r="29" spans="1:10" s="11" customFormat="1" ht="15"/>
    <row r="30" spans="1:10" s="8" customFormat="1" ht="15"/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44F1-63F7-444B-B7F9-EA0480688462}">
  <dimension ref="A1:G13"/>
  <sheetViews>
    <sheetView workbookViewId="0">
      <selection activeCell="B13" sqref="B13"/>
    </sheetView>
  </sheetViews>
  <sheetFormatPr defaultRowHeight="14.45"/>
  <cols>
    <col min="2" max="2" width="41.85546875" customWidth="1"/>
    <col min="7" max="7" width="17.28515625" customWidth="1"/>
  </cols>
  <sheetData>
    <row r="1" spans="1:7">
      <c r="A1" s="4" t="s">
        <v>0</v>
      </c>
      <c r="B1" s="4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7" t="s">
        <v>67</v>
      </c>
      <c r="B2" s="7" t="s">
        <v>68</v>
      </c>
      <c r="C2" s="5">
        <v>1</v>
      </c>
      <c r="D2" s="5">
        <v>1</v>
      </c>
      <c r="E2" s="5">
        <v>1</v>
      </c>
      <c r="F2" s="5">
        <v>0</v>
      </c>
      <c r="G2" s="5">
        <v>0</v>
      </c>
    </row>
    <row r="3" spans="1:7">
      <c r="A3" s="7" t="s">
        <v>69</v>
      </c>
      <c r="B3" s="7" t="s">
        <v>70</v>
      </c>
      <c r="C3" s="5">
        <v>0</v>
      </c>
      <c r="D3" s="5">
        <v>1</v>
      </c>
      <c r="E3" s="5">
        <v>0</v>
      </c>
      <c r="F3" s="5">
        <v>0</v>
      </c>
      <c r="G3" s="5">
        <v>1</v>
      </c>
    </row>
    <row r="4" spans="1:7">
      <c r="A4" s="7" t="s">
        <v>71</v>
      </c>
      <c r="B4" s="7" t="s">
        <v>72</v>
      </c>
      <c r="C4" s="5">
        <v>1</v>
      </c>
      <c r="D4" s="5">
        <v>0</v>
      </c>
      <c r="E4" s="5">
        <v>0</v>
      </c>
      <c r="F4" s="5">
        <v>1</v>
      </c>
      <c r="G4" s="5">
        <v>0</v>
      </c>
    </row>
    <row r="5" spans="1:7">
      <c r="A5" s="7" t="s">
        <v>73</v>
      </c>
      <c r="B5" s="7" t="s">
        <v>74</v>
      </c>
      <c r="C5" s="5">
        <v>0</v>
      </c>
      <c r="D5" s="5">
        <v>0</v>
      </c>
      <c r="E5" s="5">
        <v>0</v>
      </c>
      <c r="F5" s="5">
        <v>0</v>
      </c>
      <c r="G5" s="5">
        <v>1</v>
      </c>
    </row>
    <row r="6" spans="1:7">
      <c r="A6" s="7" t="s">
        <v>75</v>
      </c>
      <c r="B6" s="7" t="s">
        <v>76</v>
      </c>
      <c r="C6" s="5">
        <v>1</v>
      </c>
      <c r="D6" s="5">
        <v>1</v>
      </c>
      <c r="E6" s="5">
        <v>0</v>
      </c>
      <c r="F6" s="5">
        <v>0</v>
      </c>
      <c r="G6" s="5">
        <v>0</v>
      </c>
    </row>
    <row r="7" spans="1:7">
      <c r="A7" s="7" t="s">
        <v>77</v>
      </c>
      <c r="B7" s="7" t="s">
        <v>78</v>
      </c>
      <c r="C7" s="5">
        <v>0</v>
      </c>
      <c r="D7" s="5">
        <v>1</v>
      </c>
      <c r="E7" s="5">
        <v>0</v>
      </c>
      <c r="F7" s="5">
        <v>0</v>
      </c>
      <c r="G7" s="5">
        <v>1</v>
      </c>
    </row>
    <row r="8" spans="1:7">
      <c r="A8" s="7" t="s">
        <v>79</v>
      </c>
      <c r="B8" s="7" t="s">
        <v>80</v>
      </c>
      <c r="C8" s="5">
        <v>1</v>
      </c>
      <c r="D8" s="5">
        <v>0</v>
      </c>
      <c r="E8" s="5">
        <v>1</v>
      </c>
      <c r="F8" s="5">
        <v>0</v>
      </c>
      <c r="G8" s="5">
        <v>0</v>
      </c>
    </row>
    <row r="9" spans="1:7">
      <c r="A9" s="7" t="s">
        <v>81</v>
      </c>
      <c r="B9" s="7" t="s">
        <v>82</v>
      </c>
      <c r="C9" s="5">
        <v>0</v>
      </c>
      <c r="D9" s="5">
        <v>0</v>
      </c>
      <c r="E9" s="5">
        <v>1</v>
      </c>
      <c r="F9" s="5">
        <v>0</v>
      </c>
      <c r="G9" s="5">
        <v>1</v>
      </c>
    </row>
    <row r="10" spans="1:7">
      <c r="A10" s="7" t="s">
        <v>83</v>
      </c>
      <c r="B10" s="7" t="s">
        <v>84</v>
      </c>
      <c r="C10" s="5">
        <v>1</v>
      </c>
      <c r="D10" s="5">
        <v>0</v>
      </c>
      <c r="E10" s="5">
        <v>0</v>
      </c>
      <c r="F10" s="5">
        <v>1</v>
      </c>
      <c r="G10" s="5">
        <v>0</v>
      </c>
    </row>
    <row r="11" spans="1:7">
      <c r="A11" s="7" t="s">
        <v>85</v>
      </c>
      <c r="B11" s="7" t="s">
        <v>46</v>
      </c>
      <c r="C11" s="5">
        <v>0</v>
      </c>
      <c r="D11" s="5">
        <v>0</v>
      </c>
      <c r="E11" s="5">
        <v>0</v>
      </c>
      <c r="F11" s="5">
        <v>0</v>
      </c>
      <c r="G11" s="5">
        <v>1</v>
      </c>
    </row>
    <row r="12" spans="1:7">
      <c r="A12" s="7" t="s">
        <v>86</v>
      </c>
      <c r="B12" s="7" t="s">
        <v>87</v>
      </c>
      <c r="C12" s="5">
        <v>1</v>
      </c>
      <c r="D12" s="5">
        <v>1</v>
      </c>
      <c r="E12" s="5">
        <v>0</v>
      </c>
      <c r="F12" s="5">
        <v>0</v>
      </c>
      <c r="G12" s="5">
        <v>0</v>
      </c>
    </row>
    <row r="13" spans="1:7">
      <c r="A13" s="7" t="s">
        <v>88</v>
      </c>
      <c r="B13" s="7" t="s">
        <v>89</v>
      </c>
      <c r="C13" s="5">
        <v>0</v>
      </c>
      <c r="D13" s="5">
        <v>1</v>
      </c>
      <c r="E13" s="5">
        <v>0</v>
      </c>
      <c r="F13" s="5">
        <v>0</v>
      </c>
      <c r="G13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6" sqref="B6"/>
    </sheetView>
  </sheetViews>
  <sheetFormatPr defaultRowHeight="14.45"/>
  <cols>
    <col min="1" max="1" width="12" customWidth="1"/>
    <col min="2" max="2" width="45" customWidth="1"/>
  </cols>
  <sheetData>
    <row r="1" spans="1:2">
      <c r="A1" s="1" t="s">
        <v>90</v>
      </c>
      <c r="B1" s="1" t="s">
        <v>91</v>
      </c>
    </row>
    <row r="2" spans="1:2">
      <c r="A2" s="3">
        <v>1</v>
      </c>
      <c r="B2" s="3" t="s">
        <v>92</v>
      </c>
    </row>
    <row r="3" spans="1:2" ht="28.9">
      <c r="A3" s="3">
        <v>2</v>
      </c>
      <c r="B3" s="3" t="s">
        <v>93</v>
      </c>
    </row>
    <row r="4" spans="1:2" ht="28.9">
      <c r="A4" s="3">
        <v>3</v>
      </c>
      <c r="B4" s="3" t="s">
        <v>94</v>
      </c>
    </row>
    <row r="5" spans="1:2" ht="30.75">
      <c r="A5" s="3">
        <v>4</v>
      </c>
      <c r="B5" s="3" t="s">
        <v>95</v>
      </c>
    </row>
    <row r="6" spans="1:2" ht="30.75">
      <c r="A6" s="3">
        <v>5</v>
      </c>
      <c r="B6" s="3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2026-09-21T03:06:07Z</dcterms:created>
  <dcterms:modified xsi:type="dcterms:W3CDTF">2026-09-21T10:31:19Z</dcterms:modified>
  <cp:category/>
  <cp:contentStatus/>
</cp:coreProperties>
</file>